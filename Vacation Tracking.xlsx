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320\Desktop\"/>
    </mc:Choice>
  </mc:AlternateContent>
  <xr:revisionPtr revIDLastSave="0" documentId="13_ncr:1_{05D40D37-FF1E-4AED-A730-D94AA4747228}" xr6:coauthVersionLast="47" xr6:coauthVersionMax="47" xr10:uidLastSave="{00000000-0000-0000-0000-000000000000}"/>
  <bookViews>
    <workbookView xWindow="-108" yWindow="-108" windowWidth="23256" windowHeight="12456" tabRatio="386" activeTab="1" xr2:uid="{B66F934D-FBC3-4A0D-9849-8FDE379131DD}"/>
  </bookViews>
  <sheets>
    <sheet name="Claude Log" sheetId="2" r:id="rId1"/>
    <sheet name="Vacation Tracker" sheetId="1" r:id="rId2"/>
    <sheet name="Timeline Data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D18" i="1"/>
  <c r="B18" i="1"/>
  <c r="F17" i="1"/>
  <c r="D17" i="1"/>
  <c r="B17" i="1"/>
  <c r="D16" i="1"/>
  <c r="B16" i="1"/>
  <c r="B2" i="3"/>
  <c r="C2" i="3"/>
  <c r="D2" i="3"/>
  <c r="E2" i="3"/>
  <c r="B3" i="3"/>
  <c r="C3" i="3"/>
  <c r="D3" i="3"/>
  <c r="E3" i="3"/>
  <c r="B4" i="3"/>
  <c r="C4" i="3"/>
  <c r="D4" i="3"/>
  <c r="E4" i="3"/>
  <c r="B5" i="3"/>
  <c r="C5" i="3"/>
  <c r="D5" i="3"/>
  <c r="E5" i="3"/>
  <c r="B6" i="3"/>
  <c r="C6" i="3"/>
  <c r="D6" i="3"/>
  <c r="E6" i="3"/>
  <c r="B7" i="3"/>
  <c r="C7" i="3"/>
  <c r="D7" i="3"/>
  <c r="E7" i="3"/>
  <c r="B8" i="3"/>
  <c r="C8" i="3"/>
  <c r="D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F4" i="3"/>
  <c r="B12" i="3"/>
  <c r="B13" i="3"/>
  <c r="A11" i="3"/>
  <c r="A10" i="3"/>
  <c r="A9" i="3"/>
  <c r="A8" i="3"/>
  <c r="A7" i="3"/>
  <c r="A6" i="3"/>
  <c r="A5" i="3"/>
  <c r="A4" i="3"/>
  <c r="A3" i="3"/>
  <c r="A2" i="3"/>
  <c r="O13" i="1" a="1"/>
  <c r="O13" i="1" s="1"/>
  <c r="O12" i="1" a="1"/>
  <c r="O12" i="1" s="1"/>
  <c r="O11" i="1" a="1"/>
  <c r="O11" i="1" s="1"/>
  <c r="O10" i="1" a="1"/>
  <c r="O10" i="1" s="1"/>
  <c r="O9" i="1" a="1"/>
  <c r="O9" i="1" s="1"/>
  <c r="O8" i="1" a="1"/>
  <c r="O8" i="1" s="1"/>
  <c r="O7" i="1" a="1"/>
  <c r="O7" i="1" s="1"/>
  <c r="O6" i="1" a="1"/>
  <c r="O6" i="1" s="1"/>
  <c r="O5" i="1" a="1"/>
  <c r="O5" i="1" s="1"/>
  <c r="O4" i="1" a="1"/>
  <c r="O4" i="1" s="1"/>
  <c r="L13" i="1"/>
  <c r="J13" i="1"/>
  <c r="I13" i="1"/>
  <c r="F13" i="1"/>
  <c r="L12" i="1"/>
  <c r="J12" i="1"/>
  <c r="I12" i="1"/>
  <c r="F12" i="1"/>
  <c r="L11" i="1"/>
  <c r="J11" i="1"/>
  <c r="I11" i="1"/>
  <c r="F11" i="1"/>
  <c r="L10" i="1"/>
  <c r="J10" i="1"/>
  <c r="I10" i="1"/>
  <c r="F10" i="1"/>
  <c r="L9" i="1"/>
  <c r="J9" i="1"/>
  <c r="I9" i="1"/>
  <c r="F9" i="1"/>
  <c r="L8" i="1"/>
  <c r="J8" i="1"/>
  <c r="I8" i="1"/>
  <c r="F8" i="1"/>
  <c r="L7" i="1"/>
  <c r="J7" i="1"/>
  <c r="I7" i="1"/>
  <c r="F7" i="1"/>
  <c r="L6" i="1"/>
  <c r="J6" i="1"/>
  <c r="I6" i="1"/>
  <c r="F6" i="1"/>
  <c r="L5" i="1"/>
  <c r="J5" i="1"/>
  <c r="I5" i="1"/>
  <c r="F5" i="1"/>
  <c r="L4" i="1"/>
  <c r="J4" i="1"/>
  <c r="I4" i="1"/>
  <c r="F4" i="1"/>
  <c r="F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<sst xmlns="http://schemas.openxmlformats.org/spreadsheetml/2006/main" count="92" uniqueCount="72">
  <si>
    <t>YEARLY VACATION TRACKER 2026</t>
  </si>
  <si>
    <t>#</t>
  </si>
  <si>
    <t>Employee Name</t>
  </si>
  <si>
    <t>Department</t>
  </si>
  <si>
    <t>Status</t>
  </si>
  <si>
    <t>Alice Johnson</t>
  </si>
  <si>
    <t>Bob Smith</t>
  </si>
  <si>
    <t>Approved</t>
  </si>
  <si>
    <t>Carlos Rivera</t>
  </si>
  <si>
    <t>Diana Lee</t>
  </si>
  <si>
    <t>Pending</t>
  </si>
  <si>
    <t>Eva Martinez</t>
  </si>
  <si>
    <t>Frank Wilson</t>
  </si>
  <si>
    <t>Grace Kim</t>
  </si>
  <si>
    <t>Henry Park</t>
  </si>
  <si>
    <t>Irene Chen</t>
  </si>
  <si>
    <t>James Tanaka</t>
  </si>
  <si>
    <t>SUMMARY</t>
  </si>
  <si>
    <t>Total Employees</t>
  </si>
  <si>
    <t>Avg Days / Person</t>
  </si>
  <si>
    <t>Total Allowance</t>
  </si>
  <si>
    <t>Turn #</t>
  </si>
  <si>
    <t>Date</t>
  </si>
  <si>
    <t>User Request</t>
  </si>
  <si>
    <t>Action Taken</t>
  </si>
  <si>
    <t>Details</t>
  </si>
  <si>
    <t>Outcome</t>
  </si>
  <si>
    <t>Create a yearly vacation tracking sheet with a replacement person column</t>
  </si>
  <si>
    <t>Built vacation tracker with 10 columns: #, Employee, Department, Vacation Start/End, Days Taken, Annual Allowance, Days Remaining, Replacement Person, Status</t>
  </si>
  <si>
    <t>Days Taken uses =NETWORKDAYS() formula. Days Remaining = Allowance - Taken. Status has dropdown validation (Approved/Pending/Rejected) with conditional formatting. Added 10 sample employees across 5 departments. Summary section with totals and status counts. Froze header rows.</t>
  </si>
  <si>
    <t>Vacation Tracker sheet complete with sample data in A1:J13, summary in A15:D18. Ready for customization.</t>
  </si>
  <si>
    <t>Vacation 1 Start</t>
  </si>
  <si>
    <t>Vacation 1 End</t>
  </si>
  <si>
    <t>Days (V1)</t>
  </si>
  <si>
    <t>Vacation 2 Start</t>
  </si>
  <si>
    <t>Vacation 2 End</t>
  </si>
  <si>
    <t>Days (V2)</t>
  </si>
  <si>
    <t>Total Days</t>
  </si>
  <si>
    <t>Allowance</t>
  </si>
  <si>
    <t>Remaining</t>
  </si>
  <si>
    <t>Replacement</t>
  </si>
  <si>
    <t>⚠ Overlap?</t>
  </si>
  <si>
    <t>Employee</t>
  </si>
  <si>
    <t>Before V1</t>
  </si>
  <si>
    <t>Vacation 1</t>
  </si>
  <si>
    <t>Gap</t>
  </si>
  <si>
    <t>Vacation 2</t>
  </si>
  <si>
    <t>Total Days Used</t>
  </si>
  <si>
    <t>Overlaps Found</t>
  </si>
  <si>
    <t>Split Vacations</t>
  </si>
  <si>
    <t>Single Vacations</t>
  </si>
  <si>
    <t>LEGEND:</t>
  </si>
  <si>
    <t>🟦 Vacation 1</t>
  </si>
  <si>
    <t>🟧 Vacation 2</t>
  </si>
  <si>
    <t>✅ No Overlap</t>
  </si>
  <si>
    <t>⚠ Overlap Detected</t>
  </si>
  <si>
    <t>ℹ️ Vacation 2 columns are optional. Leave blank for single vacation. Days auto-calculated via NETWORKDAYS (excl. weekends). Blue values are editable inputs.</t>
  </si>
  <si>
    <t>Add split vacation support (1 or 2 periods per person), overlap detection between employee and replacement, and a Gantt-style timeline chart</t>
  </si>
  <si>
    <t>Restructured tracker with Vacation 1 and Vacation 2 columns, added SUMPRODUCT-based overlap formula in column O, created stacked bar Gantt chart, updated summary with overlap count and split/single vacation stats</t>
  </si>
  <si>
    <t>Overlap formula uses SUMPRODUCT to check all 4 date-range overlap combinations (V1↔V1, V1↔V2, V2↔V1, V2↔V2) between employee and their named replacement. Chart built from hidden 'Timeline Data' sheet with invisible spacer bars. Days auto-calculated via NETWORKDAYS. Sample data: 5 employees with split vacations, 5 with single. Carlos↔Diana flagged as overlap (Jul 20-31 vs Jul 27-Aug 7).</t>
  </si>
  <si>
    <t>Vacation Tracker fully updated: A1:O13 data, A15:F18 summary, Gantt chart below. 2 overlaps correctly detected. Fixed number format on summary cells.</t>
  </si>
  <si>
    <t>Amr Bahy</t>
  </si>
  <si>
    <t>Karim</t>
  </si>
  <si>
    <t>Ahmed Zayed</t>
  </si>
  <si>
    <t>Hytham</t>
  </si>
  <si>
    <t>Elrawy</t>
  </si>
  <si>
    <t>Service</t>
  </si>
  <si>
    <t>Mohammed Ibrahim</t>
  </si>
  <si>
    <t>Khaled</t>
  </si>
  <si>
    <t>Tankala</t>
  </si>
  <si>
    <t>Bharat</t>
  </si>
  <si>
    <t>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</si>
</sst>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FF8C0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008000"/>
      <name val="Aptos Narrow"/>
      <family val="2"/>
      <scheme val="minor"/>
    </font>
    <font>
      <sz val="9"/>
      <color rgb="FF66666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2E75B6"/>
      <name val="Aptos Narrow"/>
      <family val="2"/>
      <scheme val="minor"/>
    </font>
    <font>
      <b/>
      <sz val="10"/>
      <color rgb="FFFF8C00"/>
      <name val="Aptos Narrow"/>
      <family val="2"/>
      <scheme val="minor"/>
    </font>
    <font>
      <sz val="10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7CE"/>
        <bgColor indexed="64"/>
      </patternFill>
    </fill>
  </fills>
  <borders count="17">
    <border>
      <left/>
      <right/>
      <top/>
      <bottom/>
      <diagonal/>
    </border>
    <border>
      <left style="thin">
        <color rgb="FFB0C4DE"/>
      </left>
      <right style="thin">
        <color rgb="FFB0C4DE"/>
      </right>
      <top/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2E75B6"/>
      </bottom>
      <diagonal/>
    </border>
    <border>
      <left style="thin">
        <color rgb="FFB0C4DE"/>
      </left>
      <right style="thin">
        <color rgb="FFB0C4DE"/>
      </right>
      <top style="thin">
        <color rgb="FF2E75B6"/>
      </top>
      <bottom style="thin">
        <color rgb="FFB0C4DE"/>
      </bottom>
      <diagonal/>
    </border>
    <border>
      <left style="thin">
        <color rgb="FF2E75B6"/>
      </left>
      <right style="thin">
        <color rgb="FFB0C4DE"/>
      </right>
      <top style="thin">
        <color rgb="FF2E75B6"/>
      </top>
      <bottom style="thin">
        <color rgb="FFB0C4DE"/>
      </bottom>
      <diagonal/>
    </border>
    <border>
      <left style="thin">
        <color rgb="FF2E75B6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2E75B6"/>
      </left>
      <right style="thin">
        <color rgb="FFB0C4DE"/>
      </right>
      <top style="thin">
        <color rgb="FFB0C4DE"/>
      </top>
      <bottom style="thin">
        <color rgb="FF2E75B6"/>
      </bottom>
      <diagonal/>
    </border>
    <border>
      <left style="thin">
        <color rgb="FFB0C4DE"/>
      </left>
      <right style="thin">
        <color rgb="FF2E75B6"/>
      </right>
      <top style="thin">
        <color rgb="FF2E75B6"/>
      </top>
      <bottom style="thin">
        <color rgb="FFB0C4DE"/>
      </bottom>
      <diagonal/>
    </border>
    <border>
      <left style="thin">
        <color rgb="FFB0C4DE"/>
      </left>
      <right style="thin">
        <color rgb="FF2E75B6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2E75B6"/>
      </right>
      <top style="thin">
        <color rgb="FFB0C4DE"/>
      </top>
      <bottom style="thin">
        <color rgb="FF2E75B6"/>
      </bottom>
      <diagonal/>
    </border>
    <border>
      <left style="thin">
        <color rgb="FF2E75B6"/>
      </left>
      <right style="thin">
        <color rgb="FFB0C4DE"/>
      </right>
      <top/>
      <bottom style="thin">
        <color rgb="FFB0C4DE"/>
      </bottom>
      <diagonal/>
    </border>
    <border>
      <left style="thin">
        <color rgb="FFB0C4DE"/>
      </left>
      <right style="thin">
        <color rgb="FF2E75B6"/>
      </right>
      <top/>
      <bottom style="thin">
        <color rgb="FFB0C4DE"/>
      </bottom>
      <diagonal/>
    </border>
    <border>
      <left style="thin">
        <color rgb="FF2E75B6"/>
      </left>
      <right style="thin">
        <color rgb="FFB0C4DE"/>
      </right>
      <top style="thin">
        <color rgb="FF2E75B6"/>
      </top>
      <bottom style="medium">
        <color rgb="FF1F4E79"/>
      </bottom>
      <diagonal/>
    </border>
    <border>
      <left style="thin">
        <color rgb="FFB0C4DE"/>
      </left>
      <right style="thin">
        <color rgb="FFB0C4DE"/>
      </right>
      <top style="thin">
        <color rgb="FF2E75B6"/>
      </top>
      <bottom style="medium">
        <color rgb="FF1F4E79"/>
      </bottom>
      <diagonal/>
    </border>
    <border>
      <left style="thin">
        <color rgb="FFB0C4DE"/>
      </left>
      <right style="thin">
        <color rgb="FF2E75B6"/>
      </right>
      <top style="thin">
        <color rgb="FF2E75B6"/>
      </top>
      <bottom style="medium">
        <color rgb="FF1F4E79"/>
      </bottom>
      <diagonal/>
    </border>
    <border>
      <left style="thin">
        <color rgb="FFB0C4DE"/>
      </left>
      <right style="thin">
        <color rgb="FFB0C4DE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4" borderId="2" xfId="0" applyFill="1" applyBorder="1"/>
    <xf numFmtId="164" fontId="0" fillId="4" borderId="2" xfId="0" applyNumberFormat="1" applyFill="1" applyBorder="1"/>
    <xf numFmtId="0" fontId="0" fillId="4" borderId="2" xfId="0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/>
    <xf numFmtId="164" fontId="0" fillId="0" borderId="3" xfId="0" applyNumberFormat="1" applyBorder="1"/>
    <xf numFmtId="0" fontId="0" fillId="0" borderId="3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4" borderId="2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7" fillId="2" borderId="4" xfId="0" applyFont="1" applyFill="1" applyBorder="1"/>
    <xf numFmtId="0" fontId="7" fillId="2" borderId="5" xfId="0" applyFont="1" applyFill="1" applyBorder="1"/>
    <xf numFmtId="0" fontId="1" fillId="4" borderId="6" xfId="0" applyFont="1" applyFill="1" applyBorder="1"/>
    <xf numFmtId="0" fontId="5" fillId="0" borderId="6" xfId="0" applyFont="1" applyBorder="1"/>
    <xf numFmtId="0" fontId="6" fillId="0" borderId="7" xfId="0" applyFont="1" applyBorder="1"/>
    <xf numFmtId="0" fontId="7" fillId="2" borderId="8" xfId="0" applyFont="1" applyFill="1" applyBorder="1"/>
    <xf numFmtId="0" fontId="3" fillId="2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" fillId="6" borderId="2" xfId="0" applyFont="1" applyFill="1" applyBorder="1"/>
    <xf numFmtId="1" fontId="11" fillId="6" borderId="9" xfId="0" applyNumberFormat="1" applyFont="1" applyFill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0" fillId="4" borderId="16" xfId="0" applyFill="1" applyBorder="1"/>
  </cellXfs>
  <cellStyles count="1">
    <cellStyle name="Normal" xfId="0" builtinId="0"/>
  </cellStyles>
  <dxfs count="7">
    <dxf>
      <font>
        <b/>
        <i val="0"/>
        <color rgb="FFFF0000"/>
      </font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FF0000"/>
      </font>
      <fill>
        <patternFill patternType="solid">
          <fgColor indexed="64"/>
          <bgColor rgb="FFFFC7CE"/>
        </patternFill>
      </fill>
    </dxf>
    <dxf>
      <font>
        <color rgb="FFFF8C00"/>
      </font>
      <fill>
        <patternFill patternType="solid">
          <fgColor indexed="64"/>
          <bgColor rgb="FFFFF2CC"/>
        </patternFill>
      </fill>
    </dxf>
    <dxf>
      <font>
        <color rgb="FF008000"/>
      </font>
      <fill>
        <patternFill patternType="solid">
          <fgColor indexed="64"/>
          <bgColor rgb="FFE2EFDA"/>
        </patternFill>
      </fill>
    </dxf>
    <dxf>
      <font>
        <color rgb="FFFF8C00"/>
      </font>
      <fill>
        <patternFill patternType="solid">
          <fgColor indexed="64"/>
          <bgColor rgb="FFFFF2CC"/>
        </patternFill>
      </fill>
    </dxf>
    <dxf>
      <font>
        <color rgb="FF008000"/>
      </font>
      <fill>
        <patternFill patternType="solid">
          <fgColor indexed="64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Vacation Timeline 2026 — Overlap Detection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'Timeline Data'!$B$1</c:f>
              <c:strCache>
                <c:ptCount val="1"/>
                <c:pt idx="0">
                  <c:v>Before V1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'Timeline Data'!$A$2:$A$11</c:f>
              <c:strCache>
                <c:ptCount val="10"/>
                <c:pt idx="0">
                  <c:v>#REF!</c:v>
                </c:pt>
                <c:pt idx="1">
                  <c:v>Amr Bahy</c:v>
                </c:pt>
                <c:pt idx="2">
                  <c:v>Karim</c:v>
                </c:pt>
                <c:pt idx="3">
                  <c:v>Ahmed Zayed</c:v>
                </c:pt>
                <c:pt idx="4">
                  <c:v>Hytham</c:v>
                </c:pt>
                <c:pt idx="5">
                  <c:v>Elrawy</c:v>
                </c:pt>
                <c:pt idx="6">
                  <c:v>Khaled</c:v>
                </c:pt>
                <c:pt idx="7">
                  <c:v>Tankala</c:v>
                </c:pt>
                <c:pt idx="8">
                  <c:v>Bharat</c:v>
                </c:pt>
                <c:pt idx="9">
                  <c:v>Akash</c:v>
                </c:pt>
              </c:strCache>
            </c:strRef>
          </c:cat>
          <c:val>
            <c:numRef>
              <c:f>'Timeline Data'!$B$2:$B$11</c:f>
              <c:numCache>
                <c:formatCode>General</c:formatCode>
                <c:ptCount val="10"/>
                <c:pt idx="0">
                  <c:v>60</c:v>
                </c:pt>
                <c:pt idx="1">
                  <c:v>165</c:v>
                </c:pt>
                <c:pt idx="2">
                  <c:v>200</c:v>
                </c:pt>
                <c:pt idx="3">
                  <c:v>95</c:v>
                </c:pt>
                <c:pt idx="4">
                  <c:v>221</c:v>
                </c:pt>
                <c:pt idx="5">
                  <c:v>354</c:v>
                </c:pt>
                <c:pt idx="6">
                  <c:v>130</c:v>
                </c:pt>
                <c:pt idx="7">
                  <c:v>243</c:v>
                </c:pt>
                <c:pt idx="8">
                  <c:v>305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3-41ED-AF6F-9BA8E8282ECB}"/>
            </c:ext>
          </c:extLst>
        </c:ser>
        <c:ser>
          <c:idx val="1"/>
          <c:order val="1"/>
          <c:tx>
            <c:v>Vacation 1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'Timeline Data'!$A$2:$A$11</c:f>
              <c:strCache>
                <c:ptCount val="10"/>
                <c:pt idx="0">
                  <c:v>#REF!</c:v>
                </c:pt>
                <c:pt idx="1">
                  <c:v>Amr Bahy</c:v>
                </c:pt>
                <c:pt idx="2">
                  <c:v>Karim</c:v>
                </c:pt>
                <c:pt idx="3">
                  <c:v>Ahmed Zayed</c:v>
                </c:pt>
                <c:pt idx="4">
                  <c:v>Hytham</c:v>
                </c:pt>
                <c:pt idx="5">
                  <c:v>Elrawy</c:v>
                </c:pt>
                <c:pt idx="6">
                  <c:v>Khaled</c:v>
                </c:pt>
                <c:pt idx="7">
                  <c:v>Tankala</c:v>
                </c:pt>
                <c:pt idx="8">
                  <c:v>Bharat</c:v>
                </c:pt>
                <c:pt idx="9">
                  <c:v>Akash</c:v>
                </c:pt>
              </c:strCache>
            </c:strRef>
          </c:cat>
          <c:val>
            <c:numRef>
              <c:f>'Timeline Data'!$C$2:$C$11</c:f>
              <c:numCache>
                <c:formatCode>General</c:formatCode>
                <c:ptCount val="10"/>
                <c:pt idx="0">
                  <c:v>5</c:v>
                </c:pt>
                <c:pt idx="1">
                  <c:v>12</c:v>
                </c:pt>
                <c:pt idx="2">
                  <c:v>12</c:v>
                </c:pt>
                <c:pt idx="3">
                  <c:v>5</c:v>
                </c:pt>
                <c:pt idx="4">
                  <c:v>12</c:v>
                </c:pt>
                <c:pt idx="5">
                  <c:v>11</c:v>
                </c:pt>
                <c:pt idx="6">
                  <c:v>5</c:v>
                </c:pt>
                <c:pt idx="7">
                  <c:v>12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3-41ED-AF6F-9BA8E8282ECB}"/>
            </c:ext>
          </c:extLst>
        </c:ser>
        <c:ser>
          <c:idx val="2"/>
          <c:order val="2"/>
          <c:tx>
            <c:strRef>
              <c:f>'Timeline Data'!$D$1</c:f>
              <c:strCache>
                <c:ptCount val="1"/>
                <c:pt idx="0">
                  <c:v>Gap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'Timeline Data'!$A$2:$A$11</c:f>
              <c:strCache>
                <c:ptCount val="10"/>
                <c:pt idx="0">
                  <c:v>#REF!</c:v>
                </c:pt>
                <c:pt idx="1">
                  <c:v>Amr Bahy</c:v>
                </c:pt>
                <c:pt idx="2">
                  <c:v>Karim</c:v>
                </c:pt>
                <c:pt idx="3">
                  <c:v>Ahmed Zayed</c:v>
                </c:pt>
                <c:pt idx="4">
                  <c:v>Hytham</c:v>
                </c:pt>
                <c:pt idx="5">
                  <c:v>Elrawy</c:v>
                </c:pt>
                <c:pt idx="6">
                  <c:v>Khaled</c:v>
                </c:pt>
                <c:pt idx="7">
                  <c:v>Tankala</c:v>
                </c:pt>
                <c:pt idx="8">
                  <c:v>Bharat</c:v>
                </c:pt>
                <c:pt idx="9">
                  <c:v>Akash</c:v>
                </c:pt>
              </c:strCache>
            </c:strRef>
          </c:cat>
          <c:val>
            <c:numRef>
              <c:f>'Timeline Data'!$D$2:$D$11</c:f>
              <c:numCache>
                <c:formatCode>General</c:formatCode>
                <c:ptCount val="10"/>
                <c:pt idx="0">
                  <c:v>191</c:v>
                </c:pt>
                <c:pt idx="1">
                  <c:v>0</c:v>
                </c:pt>
                <c:pt idx="2">
                  <c:v>142</c:v>
                </c:pt>
                <c:pt idx="3">
                  <c:v>107</c:v>
                </c:pt>
                <c:pt idx="4">
                  <c:v>0</c:v>
                </c:pt>
                <c:pt idx="5">
                  <c:v>0</c:v>
                </c:pt>
                <c:pt idx="6">
                  <c:v>177</c:v>
                </c:pt>
                <c:pt idx="7">
                  <c:v>0</c:v>
                </c:pt>
                <c:pt idx="8">
                  <c:v>0</c:v>
                </c:pt>
                <c:pt idx="9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33-41ED-AF6F-9BA8E8282ECB}"/>
            </c:ext>
          </c:extLst>
        </c:ser>
        <c:ser>
          <c:idx val="3"/>
          <c:order val="3"/>
          <c:tx>
            <c:v>Vacation 2</c:v>
          </c:tx>
          <c:spPr>
            <a:solidFill>
              <a:srgbClr val="FF8C00"/>
            </a:solidFill>
            <a:ln>
              <a:noFill/>
            </a:ln>
            <a:effectLst/>
          </c:spPr>
          <c:invertIfNegative val="0"/>
          <c:cat>
            <c:strRef>
              <c:f>'Timeline Data'!$A$2:$A$11</c:f>
              <c:strCache>
                <c:ptCount val="10"/>
                <c:pt idx="0">
                  <c:v>#REF!</c:v>
                </c:pt>
                <c:pt idx="1">
                  <c:v>Amr Bahy</c:v>
                </c:pt>
                <c:pt idx="2">
                  <c:v>Karim</c:v>
                </c:pt>
                <c:pt idx="3">
                  <c:v>Ahmed Zayed</c:v>
                </c:pt>
                <c:pt idx="4">
                  <c:v>Hytham</c:v>
                </c:pt>
                <c:pt idx="5">
                  <c:v>Elrawy</c:v>
                </c:pt>
                <c:pt idx="6">
                  <c:v>Khaled</c:v>
                </c:pt>
                <c:pt idx="7">
                  <c:v>Tankala</c:v>
                </c:pt>
                <c:pt idx="8">
                  <c:v>Bharat</c:v>
                </c:pt>
                <c:pt idx="9">
                  <c:v>Akash</c:v>
                </c:pt>
              </c:strCache>
            </c:strRef>
          </c:cat>
          <c:val>
            <c:numRef>
              <c:f>'Timeline Data'!$E$2:$E$11</c:f>
              <c:numCache>
                <c:formatCode>General</c:formatCode>
                <c:ptCount val="10"/>
                <c:pt idx="0">
                  <c:v>12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33-41ED-AF6F-9BA8E8282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6220639"/>
        <c:axId val="1066218719"/>
      </c:barChart>
      <c:catAx>
        <c:axId val="106622063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218719"/>
        <c:crosses val="autoZero"/>
        <c:auto val="1"/>
        <c:lblAlgn val="ctr"/>
        <c:lblOffset val="100"/>
        <c:noMultiLvlLbl val="0"/>
      </c:catAx>
      <c:valAx>
        <c:axId val="1066218719"/>
        <c:scaling>
          <c:orientation val="minMax"/>
          <c:max val="365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 (Jan 1 = 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22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Vacation Timeline 2026 — Overlap Detection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'Timeline Data'!$B$1</c:f>
              <c:strCache>
                <c:ptCount val="1"/>
                <c:pt idx="0">
                  <c:v>Before V1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'Timeline Data'!$A$2:$A$11</c:f>
              <c:strCache>
                <c:ptCount val="10"/>
                <c:pt idx="0">
                  <c:v>#REF!</c:v>
                </c:pt>
                <c:pt idx="1">
                  <c:v>Amr Bahy</c:v>
                </c:pt>
                <c:pt idx="2">
                  <c:v>Karim</c:v>
                </c:pt>
                <c:pt idx="3">
                  <c:v>Ahmed Zayed</c:v>
                </c:pt>
                <c:pt idx="4">
                  <c:v>Hytham</c:v>
                </c:pt>
                <c:pt idx="5">
                  <c:v>Elrawy</c:v>
                </c:pt>
                <c:pt idx="6">
                  <c:v>Khaled</c:v>
                </c:pt>
                <c:pt idx="7">
                  <c:v>Tankala</c:v>
                </c:pt>
                <c:pt idx="8">
                  <c:v>Bharat</c:v>
                </c:pt>
                <c:pt idx="9">
                  <c:v>Akash</c:v>
                </c:pt>
              </c:strCache>
            </c:strRef>
          </c:cat>
          <c:val>
            <c:numRef>
              <c:f>'Timeline Data'!$B$2:$B$11</c:f>
              <c:numCache>
                <c:formatCode>General</c:formatCode>
                <c:ptCount val="10"/>
                <c:pt idx="0">
                  <c:v>60</c:v>
                </c:pt>
                <c:pt idx="1">
                  <c:v>165</c:v>
                </c:pt>
                <c:pt idx="2">
                  <c:v>200</c:v>
                </c:pt>
                <c:pt idx="3">
                  <c:v>95</c:v>
                </c:pt>
                <c:pt idx="4">
                  <c:v>221</c:v>
                </c:pt>
                <c:pt idx="5">
                  <c:v>354</c:v>
                </c:pt>
                <c:pt idx="6">
                  <c:v>130</c:v>
                </c:pt>
                <c:pt idx="7">
                  <c:v>243</c:v>
                </c:pt>
                <c:pt idx="8">
                  <c:v>305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0-4293-9DA4-F7C9390579DC}"/>
            </c:ext>
          </c:extLst>
        </c:ser>
        <c:ser>
          <c:idx val="1"/>
          <c:order val="1"/>
          <c:tx>
            <c:v>Vacation 1</c:v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cat>
            <c:strRef>
              <c:f>'Timeline Data'!$A$2:$A$11</c:f>
              <c:strCache>
                <c:ptCount val="10"/>
                <c:pt idx="0">
                  <c:v>#REF!</c:v>
                </c:pt>
                <c:pt idx="1">
                  <c:v>Amr Bahy</c:v>
                </c:pt>
                <c:pt idx="2">
                  <c:v>Karim</c:v>
                </c:pt>
                <c:pt idx="3">
                  <c:v>Ahmed Zayed</c:v>
                </c:pt>
                <c:pt idx="4">
                  <c:v>Hytham</c:v>
                </c:pt>
                <c:pt idx="5">
                  <c:v>Elrawy</c:v>
                </c:pt>
                <c:pt idx="6">
                  <c:v>Khaled</c:v>
                </c:pt>
                <c:pt idx="7">
                  <c:v>Tankala</c:v>
                </c:pt>
                <c:pt idx="8">
                  <c:v>Bharat</c:v>
                </c:pt>
                <c:pt idx="9">
                  <c:v>Akash</c:v>
                </c:pt>
              </c:strCache>
            </c:strRef>
          </c:cat>
          <c:val>
            <c:numRef>
              <c:f>'Timeline Data'!$C$2:$C$11</c:f>
              <c:numCache>
                <c:formatCode>General</c:formatCode>
                <c:ptCount val="10"/>
                <c:pt idx="0">
                  <c:v>5</c:v>
                </c:pt>
                <c:pt idx="1">
                  <c:v>12</c:v>
                </c:pt>
                <c:pt idx="2">
                  <c:v>12</c:v>
                </c:pt>
                <c:pt idx="3">
                  <c:v>5</c:v>
                </c:pt>
                <c:pt idx="4">
                  <c:v>12</c:v>
                </c:pt>
                <c:pt idx="5">
                  <c:v>11</c:v>
                </c:pt>
                <c:pt idx="6">
                  <c:v>5</c:v>
                </c:pt>
                <c:pt idx="7">
                  <c:v>12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80-4293-9DA4-F7C9390579DC}"/>
            </c:ext>
          </c:extLst>
        </c:ser>
        <c:ser>
          <c:idx val="2"/>
          <c:order val="2"/>
          <c:tx>
            <c:strRef>
              <c:f>'Timeline Data'!$D$1</c:f>
              <c:strCache>
                <c:ptCount val="1"/>
                <c:pt idx="0">
                  <c:v>Gap</c:v>
                </c:pt>
              </c:strCache>
            </c:strRef>
          </c:tx>
          <c:spPr>
            <a:noFill/>
            <a:ln w="25400">
              <a:noFill/>
            </a:ln>
            <a:effectLst/>
          </c:spPr>
          <c:invertIfNegative val="0"/>
          <c:cat>
            <c:strRef>
              <c:f>'Timeline Data'!$A$2:$A$11</c:f>
              <c:strCache>
                <c:ptCount val="10"/>
                <c:pt idx="0">
                  <c:v>#REF!</c:v>
                </c:pt>
                <c:pt idx="1">
                  <c:v>Amr Bahy</c:v>
                </c:pt>
                <c:pt idx="2">
                  <c:v>Karim</c:v>
                </c:pt>
                <c:pt idx="3">
                  <c:v>Ahmed Zayed</c:v>
                </c:pt>
                <c:pt idx="4">
                  <c:v>Hytham</c:v>
                </c:pt>
                <c:pt idx="5">
                  <c:v>Elrawy</c:v>
                </c:pt>
                <c:pt idx="6">
                  <c:v>Khaled</c:v>
                </c:pt>
                <c:pt idx="7">
                  <c:v>Tankala</c:v>
                </c:pt>
                <c:pt idx="8">
                  <c:v>Bharat</c:v>
                </c:pt>
                <c:pt idx="9">
                  <c:v>Akash</c:v>
                </c:pt>
              </c:strCache>
            </c:strRef>
          </c:cat>
          <c:val>
            <c:numRef>
              <c:f>'Timeline Data'!$D$2:$D$11</c:f>
              <c:numCache>
                <c:formatCode>General</c:formatCode>
                <c:ptCount val="10"/>
                <c:pt idx="0">
                  <c:v>191</c:v>
                </c:pt>
                <c:pt idx="1">
                  <c:v>0</c:v>
                </c:pt>
                <c:pt idx="2">
                  <c:v>142</c:v>
                </c:pt>
                <c:pt idx="3">
                  <c:v>107</c:v>
                </c:pt>
                <c:pt idx="4">
                  <c:v>0</c:v>
                </c:pt>
                <c:pt idx="5">
                  <c:v>0</c:v>
                </c:pt>
                <c:pt idx="6">
                  <c:v>177</c:v>
                </c:pt>
                <c:pt idx="7">
                  <c:v>0</c:v>
                </c:pt>
                <c:pt idx="8">
                  <c:v>0</c:v>
                </c:pt>
                <c:pt idx="9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80-4293-9DA4-F7C9390579DC}"/>
            </c:ext>
          </c:extLst>
        </c:ser>
        <c:ser>
          <c:idx val="3"/>
          <c:order val="3"/>
          <c:tx>
            <c:v>Vacation 2</c:v>
          </c:tx>
          <c:spPr>
            <a:solidFill>
              <a:srgbClr val="FF8C00"/>
            </a:solidFill>
            <a:ln>
              <a:noFill/>
            </a:ln>
            <a:effectLst/>
          </c:spPr>
          <c:invertIfNegative val="0"/>
          <c:cat>
            <c:strRef>
              <c:f>'Timeline Data'!$A$2:$A$11</c:f>
              <c:strCache>
                <c:ptCount val="10"/>
                <c:pt idx="0">
                  <c:v>#REF!</c:v>
                </c:pt>
                <c:pt idx="1">
                  <c:v>Amr Bahy</c:v>
                </c:pt>
                <c:pt idx="2">
                  <c:v>Karim</c:v>
                </c:pt>
                <c:pt idx="3">
                  <c:v>Ahmed Zayed</c:v>
                </c:pt>
                <c:pt idx="4">
                  <c:v>Hytham</c:v>
                </c:pt>
                <c:pt idx="5">
                  <c:v>Elrawy</c:v>
                </c:pt>
                <c:pt idx="6">
                  <c:v>Khaled</c:v>
                </c:pt>
                <c:pt idx="7">
                  <c:v>Tankala</c:v>
                </c:pt>
                <c:pt idx="8">
                  <c:v>Bharat</c:v>
                </c:pt>
                <c:pt idx="9">
                  <c:v>Akash</c:v>
                </c:pt>
              </c:strCache>
            </c:strRef>
          </c:cat>
          <c:val>
            <c:numRef>
              <c:f>'Timeline Data'!$E$2:$E$11</c:f>
              <c:numCache>
                <c:formatCode>General</c:formatCode>
                <c:ptCount val="10"/>
                <c:pt idx="0">
                  <c:v>12</c:v>
                </c:pt>
                <c:pt idx="1">
                  <c:v>0</c:v>
                </c:pt>
                <c:pt idx="2">
                  <c:v>11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80-4293-9DA4-F7C939057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6229759"/>
        <c:axId val="1066213439"/>
      </c:barChart>
      <c:catAx>
        <c:axId val="106622975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213439"/>
        <c:crosses val="autoZero"/>
        <c:auto val="1"/>
        <c:lblAlgn val="ctr"/>
        <c:lblOffset val="100"/>
        <c:noMultiLvlLbl val="0"/>
      </c:catAx>
      <c:valAx>
        <c:axId val="1066213439"/>
        <c:scaling>
          <c:orientation val="minMax"/>
          <c:max val="365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 (Jan 1 = 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22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22</xdr:row>
      <xdr:rowOff>91440</xdr:rowOff>
    </xdr:from>
    <xdr:to>
      <xdr:col>8</xdr:col>
      <xdr:colOff>858520</xdr:colOff>
      <xdr:row>48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01485-3BAA-1DEB-F840-A4928D480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73660</xdr:colOff>
      <xdr:row>50</xdr:row>
      <xdr:rowOff>137160</xdr:rowOff>
    </xdr:from>
    <xdr:to>
      <xdr:col>8</xdr:col>
      <xdr:colOff>805180</xdr:colOff>
      <xdr:row>77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B14BF2-0E41-7CD8-1E95-E3962ECC0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F6B97D-58E9-4332-A6B1-947CB1B026F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7a34380-99ab-4b83-b2a6-aca45d51f68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96A0-F797-40DF-9533-2DB604958813}">
  <dimension ref="A1:F3"/>
  <sheetViews>
    <sheetView workbookViewId="0"/>
  </sheetViews>
  <sheetFormatPr defaultRowHeight="14.4" x14ac:dyDescent="0.3"/>
  <cols>
    <col min="1" max="6" width="40.77734375" customWidth="1"/>
  </cols>
  <sheetData>
    <row r="1" spans="1:6" x14ac:dyDescent="0.3">
      <c r="A1" s="38" t="s">
        <v>21</v>
      </c>
      <c r="B1" s="38" t="s">
        <v>22</v>
      </c>
      <c r="C1" s="38" t="s">
        <v>23</v>
      </c>
      <c r="D1" s="38" t="s">
        <v>24</v>
      </c>
      <c r="E1" s="38" t="s">
        <v>25</v>
      </c>
      <c r="F1" s="38" t="s">
        <v>26</v>
      </c>
    </row>
    <row r="2" spans="1:6" x14ac:dyDescent="0.3">
      <c r="A2" s="2">
        <v>1</v>
      </c>
      <c r="B2" s="1">
        <v>46120</v>
      </c>
      <c r="C2" t="s">
        <v>27</v>
      </c>
      <c r="D2" t="s">
        <v>28</v>
      </c>
      <c r="E2" t="s">
        <v>29</v>
      </c>
      <c r="F2" t="s">
        <v>30</v>
      </c>
    </row>
    <row r="3" spans="1:6" x14ac:dyDescent="0.3">
      <c r="A3" s="2">
        <v>2</v>
      </c>
      <c r="B3" s="1">
        <v>46120</v>
      </c>
      <c r="C3" t="s">
        <v>57</v>
      </c>
      <c r="D3" t="s">
        <v>58</v>
      </c>
      <c r="E3" t="s">
        <v>59</v>
      </c>
      <c r="F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4C25-6F81-4864-BC36-4F2FE2435521}">
  <dimension ref="A1:O21"/>
  <sheetViews>
    <sheetView tabSelected="1" workbookViewId="0">
      <selection activeCell="D8" sqref="D8"/>
    </sheetView>
  </sheetViews>
  <sheetFormatPr defaultRowHeight="14.4" x14ac:dyDescent="0.3"/>
  <cols>
    <col min="1" max="1" width="15" customWidth="1"/>
    <col min="2" max="2" width="24.109375" customWidth="1"/>
    <col min="3" max="3" width="17.5546875" customWidth="1"/>
    <col min="4" max="5" width="18.5546875" customWidth="1"/>
    <col min="6" max="6" width="12.5546875" customWidth="1"/>
    <col min="7" max="8" width="18.5546875" customWidth="1"/>
    <col min="9" max="9" width="12.5546875" customWidth="1"/>
    <col min="10" max="12" width="14.44140625" customWidth="1"/>
    <col min="13" max="13" width="24.109375" customWidth="1"/>
    <col min="14" max="14" width="14.77734375" customWidth="1"/>
    <col min="15" max="15" width="15.77734375" customWidth="1"/>
  </cols>
  <sheetData>
    <row r="1" spans="1:15" ht="36" customHeight="1" x14ac:dyDescent="0.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 spans="1:15" ht="15" thickBot="1" x14ac:dyDescent="0.35">
      <c r="A3" s="24" t="s">
        <v>1</v>
      </c>
      <c r="B3" s="25" t="s">
        <v>2</v>
      </c>
      <c r="C3" s="25" t="s">
        <v>3</v>
      </c>
      <c r="D3" s="25" t="s">
        <v>31</v>
      </c>
      <c r="E3" s="25" t="s">
        <v>32</v>
      </c>
      <c r="F3" s="25" t="s">
        <v>33</v>
      </c>
      <c r="G3" s="25" t="s">
        <v>34</v>
      </c>
      <c r="H3" s="25" t="s">
        <v>35</v>
      </c>
      <c r="I3" s="25" t="s">
        <v>36</v>
      </c>
      <c r="J3" s="25" t="s">
        <v>37</v>
      </c>
      <c r="K3" s="25" t="s">
        <v>38</v>
      </c>
      <c r="L3" s="25" t="s">
        <v>39</v>
      </c>
      <c r="M3" s="25" t="s">
        <v>40</v>
      </c>
      <c r="N3" s="25" t="s">
        <v>4</v>
      </c>
      <c r="O3" s="52" t="s">
        <v>41</v>
      </c>
    </row>
    <row r="4" spans="1:15" x14ac:dyDescent="0.3">
      <c r="A4" s="19">
        <v>1</v>
      </c>
      <c r="B4" s="8" t="s">
        <v>61</v>
      </c>
      <c r="C4" s="20" t="s">
        <v>66</v>
      </c>
      <c r="D4" s="21">
        <v>46083</v>
      </c>
      <c r="E4" s="21">
        <v>46087</v>
      </c>
      <c r="F4" s="22">
        <f>IF(D4="","",NETWORKDAYS(D4,E4))</f>
        <v>5</v>
      </c>
      <c r="G4" s="21">
        <v>46279</v>
      </c>
      <c r="H4" s="21">
        <v>46290</v>
      </c>
      <c r="I4" s="22">
        <f>IF(G4="","",NETWORKDAYS(G4,H4))</f>
        <v>10</v>
      </c>
      <c r="J4" s="49">
        <f>IF(F4="",0,F4)+IF(I4="",0,I4)</f>
        <v>15</v>
      </c>
      <c r="K4" s="23">
        <v>20</v>
      </c>
      <c r="L4" s="22">
        <f>K4-J4</f>
        <v>5</v>
      </c>
      <c r="M4" s="20" t="s">
        <v>6</v>
      </c>
      <c r="N4" s="50" t="s">
        <v>7</v>
      </c>
      <c r="O4" s="51" t="str" cm="1">
        <f t="array" ref="O4">IF(M4="","",IF(SUMPRODUCT((B$4:B$13=M4)*(((D$4:D$13&lt;&gt;"")*( D$4:D$13&lt;=E4)*(E$4:E$13&gt;=D4))+((D$4:D$13&lt;&gt;"")*( G4&lt;&gt;"")*( D$4:D$13&lt;=H4)*(E$4:E$13&gt;=G4))+((G$4:G$13&lt;&gt;"")*( D4&lt;&gt;"")*( G$4:G$13&lt;=E4)*(H$4:H$13&gt;=D4))+((G$4:G$13&lt;&gt;"")*( G4&lt;&gt;"")*( G$4:G$13&lt;=H4)*(H$4:H$13&gt;=G4))))&gt;0,"⚠ YES","✅ No"))</f>
        <v>✅ No</v>
      </c>
    </row>
    <row r="5" spans="1:15" x14ac:dyDescent="0.3">
      <c r="A5" s="17">
        <v>2</v>
      </c>
      <c r="B5" s="4" t="s">
        <v>62</v>
      </c>
      <c r="C5" s="20" t="s">
        <v>66</v>
      </c>
      <c r="D5" s="9">
        <v>46188</v>
      </c>
      <c r="E5" s="9">
        <v>46199</v>
      </c>
      <c r="F5" s="10">
        <f>IF(D5="","",NETWORKDAYS(D5,E5))</f>
        <v>10</v>
      </c>
      <c r="G5" s="9"/>
      <c r="H5" s="9"/>
      <c r="I5" s="10" t="str">
        <f>IF(G5="","",NETWORKDAYS(G5,H5))</f>
        <v/>
      </c>
      <c r="J5" s="41">
        <f>IF(F5="",0,F5)+IF(I5="",0,I5)</f>
        <v>10</v>
      </c>
      <c r="K5" s="11">
        <v>20</v>
      </c>
      <c r="L5" s="10">
        <f>K5-J5</f>
        <v>10</v>
      </c>
      <c r="M5" s="8" t="s">
        <v>5</v>
      </c>
      <c r="N5" s="42" t="s">
        <v>7</v>
      </c>
      <c r="O5" s="47" t="str" cm="1">
        <f t="array" ref="O5">IF(M5="","",IF(SUMPRODUCT((B$4:B$13=M5)*(((D$4:D$13&lt;&gt;"")*( D$4:D$13&lt;=E5)*(E$4:E$13&gt;=D5))+((D$4:D$13&lt;&gt;"")*( G5&lt;&gt;"")*( D$4:D$13&lt;=H5)*(E$4:E$13&gt;=G5))+((G$4:G$13&lt;&gt;"")*( D5&lt;&gt;"")*( G$4:G$13&lt;=E5)*(H$4:H$13&gt;=D5))+((G$4:G$13&lt;&gt;"")*( G5&lt;&gt;"")*( G$4:G$13&lt;=H5)*(H$4:H$13&gt;=G5))))&gt;0,"⚠ YES","✅ No"))</f>
        <v>✅ No</v>
      </c>
    </row>
    <row r="6" spans="1:15" x14ac:dyDescent="0.3">
      <c r="A6" s="16">
        <v>3</v>
      </c>
      <c r="B6" s="8" t="s">
        <v>63</v>
      </c>
      <c r="C6" s="20" t="s">
        <v>66</v>
      </c>
      <c r="D6" s="5">
        <v>46223</v>
      </c>
      <c r="E6" s="5">
        <v>46234</v>
      </c>
      <c r="F6" s="6">
        <f>IF(D6="","",NETWORKDAYS(D6,E6))</f>
        <v>10</v>
      </c>
      <c r="G6" s="5">
        <v>46377</v>
      </c>
      <c r="H6" s="5">
        <v>46387</v>
      </c>
      <c r="I6" s="6">
        <f>IF(G6="","",NETWORKDAYS(G6,H6))</f>
        <v>9</v>
      </c>
      <c r="J6" s="39">
        <f>IF(F6="",0,F6)+IF(I6="",0,I6)</f>
        <v>19</v>
      </c>
      <c r="K6" s="7">
        <v>25</v>
      </c>
      <c r="L6" s="6">
        <f>K6-J6</f>
        <v>6</v>
      </c>
      <c r="M6" s="4" t="s">
        <v>9</v>
      </c>
      <c r="N6" s="43" t="s">
        <v>10</v>
      </c>
      <c r="O6" s="47" t="str" cm="1">
        <f t="array" ref="O6">IF(M6="","",IF(SUMPRODUCT((B$4:B$13=M6)*(((D$4:D$13&lt;&gt;"")*( D$4:D$13&lt;=E6)*(E$4:E$13&gt;=D6))+((D$4:D$13&lt;&gt;"")*( G6&lt;&gt;"")*( D$4:D$13&lt;=H6)*(E$4:E$13&gt;=G6))+((G$4:G$13&lt;&gt;"")*( D6&lt;&gt;"")*( G$4:G$13&lt;=E6)*(H$4:H$13&gt;=D6))+((G$4:G$13&lt;&gt;"")*( G6&lt;&gt;"")*( G$4:G$13&lt;=H6)*(H$4:H$13&gt;=G6))))&gt;0,"⚠ YES","✅ No"))</f>
        <v>✅ No</v>
      </c>
    </row>
    <row r="7" spans="1:15" x14ac:dyDescent="0.3">
      <c r="A7" s="17">
        <v>4</v>
      </c>
      <c r="B7" s="4" t="s">
        <v>64</v>
      </c>
      <c r="C7" s="20" t="s">
        <v>66</v>
      </c>
      <c r="D7" s="9">
        <v>46118</v>
      </c>
      <c r="E7" s="9">
        <v>46122</v>
      </c>
      <c r="F7" s="10">
        <f>IF(D7="","",NETWORKDAYS(D7,E7))</f>
        <v>5</v>
      </c>
      <c r="G7" s="9">
        <v>46230</v>
      </c>
      <c r="H7" s="9">
        <v>46241</v>
      </c>
      <c r="I7" s="10">
        <f>IF(G7="","",NETWORKDAYS(G7,H7))</f>
        <v>10</v>
      </c>
      <c r="J7" s="41">
        <f>IF(F7="",0,F7)+IF(I7="",0,I7)</f>
        <v>15</v>
      </c>
      <c r="K7" s="11">
        <v>22</v>
      </c>
      <c r="L7" s="10">
        <f>K7-J7</f>
        <v>7</v>
      </c>
      <c r="M7" s="8" t="s">
        <v>8</v>
      </c>
      <c r="N7" s="42" t="s">
        <v>7</v>
      </c>
      <c r="O7" s="47" t="str" cm="1">
        <f t="array" ref="O7">IF(M7="","",IF(SUMPRODUCT((B$4:B$13=M7)*(((D$4:D$13&lt;&gt;"")*( D$4:D$13&lt;=E7)*(E$4:E$13&gt;=D7))+((D$4:D$13&lt;&gt;"")*( G7&lt;&gt;"")*( D$4:D$13&lt;=H7)*(E$4:E$13&gt;=G7))+((G$4:G$13&lt;&gt;"")*( D7&lt;&gt;"")*( G$4:G$13&lt;=E7)*(H$4:H$13&gt;=D7))+((G$4:G$13&lt;&gt;"")*( G7&lt;&gt;"")*( G$4:G$13&lt;=H7)*(H$4:H$13&gt;=G7))))&gt;0,"⚠ YES","✅ No"))</f>
        <v>✅ No</v>
      </c>
    </row>
    <row r="8" spans="1:15" x14ac:dyDescent="0.3">
      <c r="A8" s="16">
        <v>5</v>
      </c>
      <c r="B8" s="8" t="s">
        <v>65</v>
      </c>
      <c r="C8" s="20" t="s">
        <v>66</v>
      </c>
      <c r="D8" s="5">
        <v>46244</v>
      </c>
      <c r="E8" s="5">
        <v>46255</v>
      </c>
      <c r="F8" s="6">
        <f>IF(D8="","",NETWORKDAYS(D8,E8))</f>
        <v>10</v>
      </c>
      <c r="G8" s="5"/>
      <c r="H8" s="5"/>
      <c r="I8" s="6" t="str">
        <f>IF(G8="","",NETWORKDAYS(G8,H8))</f>
        <v/>
      </c>
      <c r="J8" s="39">
        <f>IF(F8="",0,F8)+IF(I8="",0,I8)</f>
        <v>10</v>
      </c>
      <c r="K8" s="7">
        <v>20</v>
      </c>
      <c r="L8" s="6">
        <f>K8-J8</f>
        <v>10</v>
      </c>
      <c r="M8" s="4" t="s">
        <v>12</v>
      </c>
      <c r="N8" s="40" t="s">
        <v>7</v>
      </c>
      <c r="O8" s="47" t="str" cm="1">
        <f t="array" ref="O8">IF(M8="","",IF(SUMPRODUCT((B$4:B$13=M8)*(((D$4:D$13&lt;&gt;"")*( D$4:D$13&lt;=E8)*(E$4:E$13&gt;=D8))+((D$4:D$13&lt;&gt;"")*( G8&lt;&gt;"")*( D$4:D$13&lt;=H8)*(E$4:E$13&gt;=G8))+((G$4:G$13&lt;&gt;"")*( D8&lt;&gt;"")*( G$4:G$13&lt;=E8)*(H$4:H$13&gt;=D8))+((G$4:G$13&lt;&gt;"")*( G8&lt;&gt;"")*( G$4:G$13&lt;=H8)*(H$4:H$13&gt;=G8))))&gt;0,"⚠ YES","✅ No"))</f>
        <v>✅ No</v>
      </c>
    </row>
    <row r="9" spans="1:15" x14ac:dyDescent="0.3">
      <c r="A9" s="17">
        <v>6</v>
      </c>
      <c r="B9" s="60" t="s">
        <v>67</v>
      </c>
      <c r="C9" s="20" t="s">
        <v>66</v>
      </c>
      <c r="D9" s="9">
        <v>46377</v>
      </c>
      <c r="E9" s="9">
        <v>46387</v>
      </c>
      <c r="F9" s="10">
        <f>IF(D9="","",NETWORKDAYS(D9,E9))</f>
        <v>9</v>
      </c>
      <c r="G9" s="9"/>
      <c r="H9" s="9"/>
      <c r="I9" s="10" t="str">
        <f>IF(G9="","",NETWORKDAYS(G9,H9))</f>
        <v/>
      </c>
      <c r="J9" s="41">
        <f>IF(F9="",0,F9)+IF(I9="",0,I9)</f>
        <v>9</v>
      </c>
      <c r="K9" s="11">
        <v>20</v>
      </c>
      <c r="L9" s="10">
        <f>K9-J9</f>
        <v>11</v>
      </c>
      <c r="M9" s="8" t="s">
        <v>11</v>
      </c>
      <c r="N9" s="44" t="s">
        <v>10</v>
      </c>
      <c r="O9" s="47" t="str" cm="1">
        <f t="array" ref="O9">IF(M9="","",IF(SUMPRODUCT((B$4:B$13=M9)*(((D$4:D$13&lt;&gt;"")*( D$4:D$13&lt;=E9)*(E$4:E$13&gt;=D9))+((D$4:D$13&lt;&gt;"")*( G9&lt;&gt;"")*( D$4:D$13&lt;=H9)*(E$4:E$13&gt;=G9))+((G$4:G$13&lt;&gt;"")*( D9&lt;&gt;"")*( G$4:G$13&lt;=E9)*(H$4:H$13&gt;=D9))+((G$4:G$13&lt;&gt;"")*( G9&lt;&gt;"")*( G$4:G$13&lt;=H9)*(H$4:H$13&gt;=G9))))&gt;0,"⚠ YES","✅ No"))</f>
        <v>✅ No</v>
      </c>
    </row>
    <row r="10" spans="1:15" x14ac:dyDescent="0.3">
      <c r="A10" s="16">
        <v>7</v>
      </c>
      <c r="B10" s="4" t="s">
        <v>68</v>
      </c>
      <c r="C10" s="20" t="s">
        <v>66</v>
      </c>
      <c r="D10" s="5">
        <v>46153</v>
      </c>
      <c r="E10" s="5">
        <v>46157</v>
      </c>
      <c r="F10" s="6">
        <f>IF(D10="","",NETWORKDAYS(D10,E10))</f>
        <v>5</v>
      </c>
      <c r="G10" s="5">
        <v>46335</v>
      </c>
      <c r="H10" s="5">
        <v>46339</v>
      </c>
      <c r="I10" s="6">
        <f>IF(G10="","",NETWORKDAYS(G10,H10))</f>
        <v>5</v>
      </c>
      <c r="J10" s="39">
        <f>IF(F10="",0,F10)+IF(I10="",0,I10)</f>
        <v>10</v>
      </c>
      <c r="K10" s="7">
        <v>18</v>
      </c>
      <c r="L10" s="6">
        <f>K10-J10</f>
        <v>8</v>
      </c>
      <c r="M10" s="4" t="s">
        <v>14</v>
      </c>
      <c r="N10" s="40" t="s">
        <v>7</v>
      </c>
      <c r="O10" s="47" t="str" cm="1">
        <f t="array" ref="O10">IF(M10="","",IF(SUMPRODUCT((B$4:B$13=M10)*(((D$4:D$13&lt;&gt;"")*( D$4:D$13&lt;=E10)*(E$4:E$13&gt;=D10))+((D$4:D$13&lt;&gt;"")*( G10&lt;&gt;"")*( D$4:D$13&lt;=H10)*(E$4:E$13&gt;=G10))+((G$4:G$13&lt;&gt;"")*( D10&lt;&gt;"")*( G$4:G$13&lt;=E10)*(H$4:H$13&gt;=D10))+((G$4:G$13&lt;&gt;"")*( G10&lt;&gt;"")*( G$4:G$13&lt;=H10)*(H$4:H$13&gt;=G10))))&gt;0,"⚠ YES","✅ No"))</f>
        <v>✅ No</v>
      </c>
    </row>
    <row r="11" spans="1:15" x14ac:dyDescent="0.3">
      <c r="A11" s="17">
        <v>8</v>
      </c>
      <c r="B11" s="8" t="s">
        <v>69</v>
      </c>
      <c r="C11" s="20" t="s">
        <v>66</v>
      </c>
      <c r="D11" s="9">
        <v>46266</v>
      </c>
      <c r="E11" s="9">
        <v>46277</v>
      </c>
      <c r="F11" s="10">
        <f>IF(D11="","",NETWORKDAYS(D11,E11))</f>
        <v>9</v>
      </c>
      <c r="G11" s="9"/>
      <c r="H11" s="9"/>
      <c r="I11" s="10" t="str">
        <f>IF(G11="","",NETWORKDAYS(G11,H11))</f>
        <v/>
      </c>
      <c r="J11" s="41">
        <f>IF(F11="",0,F11)+IF(I11="",0,I11)</f>
        <v>9</v>
      </c>
      <c r="K11" s="11">
        <v>18</v>
      </c>
      <c r="L11" s="10">
        <f>K11-J11</f>
        <v>9</v>
      </c>
      <c r="M11" s="8" t="s">
        <v>13</v>
      </c>
      <c r="N11" s="42" t="s">
        <v>7</v>
      </c>
      <c r="O11" s="47" t="str" cm="1">
        <f t="array" ref="O11">IF(M11="","",IF(SUMPRODUCT((B$4:B$13=M11)*(((D$4:D$13&lt;&gt;"")*( D$4:D$13&lt;=E11)*(E$4:E$13&gt;=D11))+((D$4:D$13&lt;&gt;"")*( G11&lt;&gt;"")*( D$4:D$13&lt;=H11)*(E$4:E$13&gt;=G11))+((G$4:G$13&lt;&gt;"")*( D11&lt;&gt;"")*( G$4:G$13&lt;=E11)*(H$4:H$13&gt;=D11))+((G$4:G$13&lt;&gt;"")*( G11&lt;&gt;"")*( G$4:G$13&lt;=H11)*(H$4:H$13&gt;=G11))))&gt;0,"⚠ YES","✅ No"))</f>
        <v>✅ No</v>
      </c>
    </row>
    <row r="12" spans="1:15" x14ac:dyDescent="0.3">
      <c r="A12" s="16">
        <v>9</v>
      </c>
      <c r="B12" s="4" t="s">
        <v>70</v>
      </c>
      <c r="C12" s="20" t="s">
        <v>66</v>
      </c>
      <c r="D12" s="5">
        <v>46328</v>
      </c>
      <c r="E12" s="5">
        <v>46332</v>
      </c>
      <c r="F12" s="6">
        <f>IF(D12="","",NETWORKDAYS(D12,E12))</f>
        <v>5</v>
      </c>
      <c r="G12" s="5"/>
      <c r="H12" s="5"/>
      <c r="I12" s="6" t="str">
        <f>IF(G12="","",NETWORKDAYS(G12,H12))</f>
        <v/>
      </c>
      <c r="J12" s="39">
        <f>IF(F12="",0,F12)+IF(I12="",0,I12)</f>
        <v>5</v>
      </c>
      <c r="K12" s="7">
        <v>22</v>
      </c>
      <c r="L12" s="6">
        <f>K12-J12</f>
        <v>17</v>
      </c>
      <c r="M12" s="4" t="s">
        <v>16</v>
      </c>
      <c r="N12" s="43" t="s">
        <v>10</v>
      </c>
      <c r="O12" s="47" t="str" cm="1">
        <f t="array" ref="O12">IF(M12="","",IF(SUMPRODUCT((B$4:B$13=M12)*(((D$4:D$13&lt;&gt;"")*( D$4:D$13&lt;=E12)*(E$4:E$13&gt;=D12))+((D$4:D$13&lt;&gt;"")*( G12&lt;&gt;"")*( D$4:D$13&lt;=H12)*(E$4:E$13&gt;=G12))+((G$4:G$13&lt;&gt;"")*( D12&lt;&gt;"")*( G$4:G$13&lt;=E12)*(H$4:H$13&gt;=D12))+((G$4:G$13&lt;&gt;"")*( G12&lt;&gt;"")*( G$4:G$13&lt;=H12)*(H$4:H$13&gt;=G12))))&gt;0,"⚠ YES","✅ No"))</f>
        <v>✅ No</v>
      </c>
    </row>
    <row r="13" spans="1:15" x14ac:dyDescent="0.3">
      <c r="A13" s="18">
        <v>10</v>
      </c>
      <c r="B13" s="12" t="s">
        <v>71</v>
      </c>
      <c r="C13" s="20" t="s">
        <v>66</v>
      </c>
      <c r="D13" s="13">
        <v>46069</v>
      </c>
      <c r="E13" s="13">
        <v>46073</v>
      </c>
      <c r="F13" s="14">
        <f>IF(D13="","",NETWORKDAYS(D13,E13))</f>
        <v>5</v>
      </c>
      <c r="G13" s="13">
        <v>46237</v>
      </c>
      <c r="H13" s="13">
        <v>46241</v>
      </c>
      <c r="I13" s="14">
        <f>IF(G13="","",NETWORKDAYS(G13,H13))</f>
        <v>5</v>
      </c>
      <c r="J13" s="45">
        <f>IF(F13="",0,F13)+IF(I13="",0,I13)</f>
        <v>10</v>
      </c>
      <c r="K13" s="15">
        <v>22</v>
      </c>
      <c r="L13" s="14">
        <f>K13-J13</f>
        <v>12</v>
      </c>
      <c r="M13" s="12" t="s">
        <v>15</v>
      </c>
      <c r="N13" s="46" t="s">
        <v>7</v>
      </c>
      <c r="O13" s="48" t="str" cm="1">
        <f t="array" ref="O13">IF(M13="","",IF(SUMPRODUCT((B$4:B$13=M13)*(((D$4:D$13&lt;&gt;"")*( D$4:D$13&lt;=E13)*(E$4:E$13&gt;=D13))+((D$4:D$13&lt;&gt;"")*( G13&lt;&gt;"")*( D$4:D$13&lt;=H13)*(E$4:E$13&gt;=G13))+((G$4:G$13&lt;&gt;"")*( D13&lt;&gt;"")*( G$4:G$13&lt;=E13)*(H$4:H$13&gt;=D13))+((G$4:G$13&lt;&gt;"")*( G13&lt;&gt;"")*( G$4:G$13&lt;=H13)*(H$4:H$13&gt;=G13))))&gt;0,"⚠ YES","✅ No"))</f>
        <v>✅ No</v>
      </c>
    </row>
    <row r="15" spans="1:15" ht="15.6" x14ac:dyDescent="0.3">
      <c r="A15" s="33" t="s">
        <v>17</v>
      </c>
      <c r="B15" s="32"/>
      <c r="C15" s="32"/>
      <c r="D15" s="32"/>
      <c r="E15" s="32"/>
      <c r="F15" s="37"/>
    </row>
    <row r="16" spans="1:15" x14ac:dyDescent="0.3">
      <c r="A16" s="34" t="s">
        <v>18</v>
      </c>
      <c r="B16" s="39">
        <f>COUNTA(B4:B13)</f>
        <v>10</v>
      </c>
      <c r="C16" s="29" t="s">
        <v>47</v>
      </c>
      <c r="D16" s="39">
        <f>SUM(J4:J13)</f>
        <v>112</v>
      </c>
      <c r="E16" s="56" t="s">
        <v>48</v>
      </c>
      <c r="F16" s="57">
        <f>COUNTIF(O4:O13,"*YES*")</f>
        <v>0</v>
      </c>
    </row>
    <row r="17" spans="1:6" x14ac:dyDescent="0.3">
      <c r="A17" s="35" t="s">
        <v>7</v>
      </c>
      <c r="B17" s="10">
        <f>COUNTIF(N4:N13,"Approved")</f>
        <v>7</v>
      </c>
      <c r="C17" s="30" t="s">
        <v>19</v>
      </c>
      <c r="D17" s="10">
        <f>ROUND(SUM(J4:J13)/COUNTA(B4:B13),1)</f>
        <v>11.2</v>
      </c>
      <c r="E17" s="30" t="s">
        <v>49</v>
      </c>
      <c r="F17" s="58">
        <f>COUNTIF(G4:G13,"&lt;&gt;")</f>
        <v>5</v>
      </c>
    </row>
    <row r="18" spans="1:6" x14ac:dyDescent="0.3">
      <c r="A18" s="36" t="s">
        <v>10</v>
      </c>
      <c r="B18" s="14">
        <f>COUNTIF(N4:N13,"Pending")</f>
        <v>3</v>
      </c>
      <c r="C18" s="31" t="s">
        <v>20</v>
      </c>
      <c r="D18" s="14">
        <f>SUM(K4:K13)</f>
        <v>207</v>
      </c>
      <c r="E18" s="31" t="s">
        <v>50</v>
      </c>
      <c r="F18" s="59">
        <f>COUNTA(B4:B13)-COUNTIF(G4:G13,"&lt;&gt;")</f>
        <v>5</v>
      </c>
    </row>
    <row r="20" spans="1:6" x14ac:dyDescent="0.3">
      <c r="A20" s="26" t="s">
        <v>51</v>
      </c>
      <c r="B20" s="53" t="s">
        <v>52</v>
      </c>
      <c r="C20" s="54" t="s">
        <v>53</v>
      </c>
      <c r="D20" s="27" t="s">
        <v>54</v>
      </c>
      <c r="E20" s="55" t="s">
        <v>55</v>
      </c>
    </row>
    <row r="21" spans="1:6" x14ac:dyDescent="0.3">
      <c r="A21" s="28" t="s">
        <v>56</v>
      </c>
    </row>
  </sheetData>
  <mergeCells count="2">
    <mergeCell ref="A1:O1"/>
    <mergeCell ref="A15:F15"/>
  </mergeCells>
  <conditionalFormatting sqref="N4:N13">
    <cfRule type="containsText" dxfId="4" priority="1" operator="containsText" text="Approved">
      <formula>NOT(ISERROR(SEARCH("Approved",N4)))</formula>
    </cfRule>
  </conditionalFormatting>
  <conditionalFormatting sqref="N4:N13">
    <cfRule type="containsText" dxfId="3" priority="2" operator="containsText" text="Pending">
      <formula>NOT(ISERROR(SEARCH("Pending",N4)))</formula>
    </cfRule>
  </conditionalFormatting>
  <conditionalFormatting sqref="O4:O13">
    <cfRule type="containsText" dxfId="2" priority="3" operator="containsText" text="YES">
      <formula>NOT(ISERROR(SEARCH("YES",O4)))</formula>
    </cfRule>
  </conditionalFormatting>
  <conditionalFormatting sqref="O4:O13">
    <cfRule type="containsText" dxfId="1" priority="4" operator="containsText" text="No">
      <formula>NOT(ISERROR(SEARCH("No",O4)))</formula>
    </cfRule>
  </conditionalFormatting>
  <conditionalFormatting sqref="L4:L13">
    <cfRule type="cellIs" dxfId="0" priority="5" operator="lessThan">
      <formula>0</formula>
    </cfRule>
  </conditionalFormatting>
  <dataValidations count="1">
    <dataValidation type="list" allowBlank="1" showInputMessage="1" showErrorMessage="1" sqref="N4:N13" xr:uid="{19DE0EB3-A6C1-492E-9059-CE3C795510B9}">
      <formula1>"Approved,Pending,Rejected"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F59B-0504-4F5A-88F2-817424B742BF}">
  <dimension ref="A1:F13"/>
  <sheetViews>
    <sheetView workbookViewId="0"/>
  </sheetViews>
  <sheetFormatPr defaultRowHeight="14.4" x14ac:dyDescent="0.3"/>
  <sheetData>
    <row r="1" spans="1:6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6" x14ac:dyDescent="0.3">
      <c r="A2" t="e">
        <f>'Vacation Tracker'!#REF!</f>
        <v>#REF!</v>
      </c>
      <c r="B2">
        <f>IF('Vacation Tracker'!D4="",0,'Vacation Tracker'!D4-DATE(2026,1,1))</f>
        <v>60</v>
      </c>
      <c r="C2">
        <f>IF('Vacation Tracker'!D4="",0,'Vacation Tracker'!E4-'Vacation Tracker'!D4+1)</f>
        <v>5</v>
      </c>
      <c r="D2">
        <f>IF('Vacation Tracker'!G4="",0,'Vacation Tracker'!G4-'Vacation Tracker'!E4-1)</f>
        <v>191</v>
      </c>
      <c r="E2">
        <f>IF('Vacation Tracker'!G4="",0,'Vacation Tracker'!H4-'Vacation Tracker'!G4+1)</f>
        <v>12</v>
      </c>
    </row>
    <row r="3" spans="1:6" x14ac:dyDescent="0.3">
      <c r="A3" t="str">
        <f>'Vacation Tracker'!B4</f>
        <v>Amr Bahy</v>
      </c>
      <c r="B3">
        <f>IF('Vacation Tracker'!D5="",0,'Vacation Tracker'!D5-DATE(2026,1,1))</f>
        <v>165</v>
      </c>
      <c r="C3">
        <f>IF('Vacation Tracker'!D5="",0,'Vacation Tracker'!E5-'Vacation Tracker'!D5+1)</f>
        <v>12</v>
      </c>
      <c r="D3">
        <f>IF('Vacation Tracker'!G5="",0,'Vacation Tracker'!G5-'Vacation Tracker'!E5-1)</f>
        <v>0</v>
      </c>
      <c r="E3">
        <f>IF('Vacation Tracker'!G5="",0,'Vacation Tracker'!H5-'Vacation Tracker'!G5+1)</f>
        <v>0</v>
      </c>
      <c r="F3" t="s">
        <v>46</v>
      </c>
    </row>
    <row r="4" spans="1:6" x14ac:dyDescent="0.3">
      <c r="A4" t="str">
        <f>'Vacation Tracker'!B5</f>
        <v>Karim</v>
      </c>
      <c r="B4">
        <f>IF('Vacation Tracker'!D6="",0,'Vacation Tracker'!D6-DATE(2026,1,1))</f>
        <v>200</v>
      </c>
      <c r="C4">
        <f>IF('Vacation Tracker'!D6="",0,'Vacation Tracker'!E6-'Vacation Tracker'!D6+1)</f>
        <v>12</v>
      </c>
      <c r="D4">
        <f>IF('Vacation Tracker'!G6="",0,'Vacation Tracker'!G6-'Vacation Tracker'!E6-1)</f>
        <v>142</v>
      </c>
      <c r="E4">
        <f>IF('Vacation Tracker'!G6="",0,'Vacation Tracker'!H6-'Vacation Tracker'!G6+1)</f>
        <v>11</v>
      </c>
      <c r="F4">
        <f>IF('Vacation Tracker'!H6="",0,'Vacation Tracker'!I6-'Vacation Tracker'!H6+1)</f>
        <v>-46377</v>
      </c>
    </row>
    <row r="5" spans="1:6" x14ac:dyDescent="0.3">
      <c r="A5" t="str">
        <f>'Vacation Tracker'!B6</f>
        <v>Ahmed Zayed</v>
      </c>
      <c r="B5">
        <f>IF('Vacation Tracker'!D7="",0,'Vacation Tracker'!D7-DATE(2026,1,1))</f>
        <v>95</v>
      </c>
      <c r="C5">
        <f>IF('Vacation Tracker'!D7="",0,'Vacation Tracker'!E7-'Vacation Tracker'!D7+1)</f>
        <v>5</v>
      </c>
      <c r="D5">
        <f>IF('Vacation Tracker'!G7="",0,'Vacation Tracker'!G7-'Vacation Tracker'!E7-1)</f>
        <v>107</v>
      </c>
      <c r="E5">
        <f>IF('Vacation Tracker'!G7="",0,'Vacation Tracker'!H7-'Vacation Tracker'!G7+1)</f>
        <v>12</v>
      </c>
    </row>
    <row r="6" spans="1:6" x14ac:dyDescent="0.3">
      <c r="A6" t="str">
        <f>'Vacation Tracker'!B7</f>
        <v>Hytham</v>
      </c>
      <c r="B6">
        <f>IF('Vacation Tracker'!D8="",0,'Vacation Tracker'!D8-DATE(2026,1,1))</f>
        <v>221</v>
      </c>
      <c r="C6">
        <f>IF('Vacation Tracker'!D8="",0,'Vacation Tracker'!E8-'Vacation Tracker'!D8+1)</f>
        <v>12</v>
      </c>
      <c r="D6">
        <f>IF('Vacation Tracker'!G8="",0,'Vacation Tracker'!G8-'Vacation Tracker'!E8-1)</f>
        <v>0</v>
      </c>
      <c r="E6">
        <f>IF('Vacation Tracker'!G8="",0,'Vacation Tracker'!H8-'Vacation Tracker'!G8+1)</f>
        <v>0</v>
      </c>
    </row>
    <row r="7" spans="1:6" x14ac:dyDescent="0.3">
      <c r="A7" t="str">
        <f>'Vacation Tracker'!B8</f>
        <v>Elrawy</v>
      </c>
      <c r="B7">
        <f>IF('Vacation Tracker'!D9="",0,'Vacation Tracker'!D9-DATE(2026,1,1))</f>
        <v>354</v>
      </c>
      <c r="C7">
        <f>IF('Vacation Tracker'!D9="",0,'Vacation Tracker'!E9-'Vacation Tracker'!D9+1)</f>
        <v>11</v>
      </c>
      <c r="D7">
        <f>IF('Vacation Tracker'!G9="",0,'Vacation Tracker'!G9-'Vacation Tracker'!E9-1)</f>
        <v>0</v>
      </c>
      <c r="E7">
        <f>IF('Vacation Tracker'!G9="",0,'Vacation Tracker'!H9-'Vacation Tracker'!G9+1)</f>
        <v>0</v>
      </c>
    </row>
    <row r="8" spans="1:6" x14ac:dyDescent="0.3">
      <c r="A8" t="str">
        <f>'Vacation Tracker'!B10</f>
        <v>Khaled</v>
      </c>
      <c r="B8">
        <f>IF('Vacation Tracker'!D10="",0,'Vacation Tracker'!D10-DATE(2026,1,1))</f>
        <v>130</v>
      </c>
      <c r="C8">
        <f>IF('Vacation Tracker'!D10="",0,'Vacation Tracker'!E10-'Vacation Tracker'!D10+1)</f>
        <v>5</v>
      </c>
      <c r="D8">
        <f>IF('Vacation Tracker'!G10="",0,'Vacation Tracker'!G10-'Vacation Tracker'!E10-1)</f>
        <v>177</v>
      </c>
      <c r="E8">
        <f>IF('Vacation Tracker'!G10="",0,'Vacation Tracker'!H10-'Vacation Tracker'!G10+1)</f>
        <v>5</v>
      </c>
    </row>
    <row r="9" spans="1:6" x14ac:dyDescent="0.3">
      <c r="A9" t="str">
        <f>'Vacation Tracker'!B11</f>
        <v>Tankala</v>
      </c>
      <c r="B9">
        <f>IF('Vacation Tracker'!D11="",0,'Vacation Tracker'!D11-DATE(2026,1,1))</f>
        <v>243</v>
      </c>
      <c r="C9">
        <f>IF('Vacation Tracker'!D11="",0,'Vacation Tracker'!E11-'Vacation Tracker'!D11+1)</f>
        <v>12</v>
      </c>
      <c r="D9">
        <f>IF('Vacation Tracker'!G11="",0,'Vacation Tracker'!G11-'Vacation Tracker'!E11-1)</f>
        <v>0</v>
      </c>
      <c r="E9">
        <f>IF('Vacation Tracker'!G11="",0,'Vacation Tracker'!H11-'Vacation Tracker'!G11+1)</f>
        <v>0</v>
      </c>
    </row>
    <row r="10" spans="1:6" x14ac:dyDescent="0.3">
      <c r="A10" t="str">
        <f>'Vacation Tracker'!B12</f>
        <v>Bharat</v>
      </c>
      <c r="B10">
        <f>IF('Vacation Tracker'!D12="",0,'Vacation Tracker'!D12-DATE(2026,1,1))</f>
        <v>305</v>
      </c>
      <c r="C10">
        <f>IF('Vacation Tracker'!D12="",0,'Vacation Tracker'!E12-'Vacation Tracker'!D12+1)</f>
        <v>5</v>
      </c>
      <c r="D10">
        <f>IF('Vacation Tracker'!G12="",0,'Vacation Tracker'!G12-'Vacation Tracker'!E12-1)</f>
        <v>0</v>
      </c>
      <c r="E10">
        <f>IF('Vacation Tracker'!G12="",0,'Vacation Tracker'!H12-'Vacation Tracker'!G12+1)</f>
        <v>0</v>
      </c>
    </row>
    <row r="11" spans="1:6" x14ac:dyDescent="0.3">
      <c r="A11" t="str">
        <f>'Vacation Tracker'!B13</f>
        <v>Akash</v>
      </c>
      <c r="B11">
        <f>IF('Vacation Tracker'!D13="",0,'Vacation Tracker'!D13-DATE(2026,1,1))</f>
        <v>46</v>
      </c>
      <c r="C11">
        <f>IF('Vacation Tracker'!D13="",0,'Vacation Tracker'!E13-'Vacation Tracker'!D13+1)</f>
        <v>5</v>
      </c>
      <c r="D11">
        <f>IF('Vacation Tracker'!G13="",0,'Vacation Tracker'!G13-'Vacation Tracker'!E13-1)</f>
        <v>163</v>
      </c>
      <c r="E11">
        <f>IF('Vacation Tracker'!G13="",0,'Vacation Tracker'!H13-'Vacation Tracker'!G13+1)</f>
        <v>5</v>
      </c>
    </row>
    <row r="12" spans="1:6" x14ac:dyDescent="0.3">
      <c r="B12">
        <f>'Vacation Tracker'!C14</f>
        <v>0</v>
      </c>
    </row>
    <row r="13" spans="1:6" x14ac:dyDescent="0.3">
      <c r="B13">
        <f>'Vacation Tracker'!C15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Claude Log</vt:lpstr>
      <vt:lpstr>Vacation Tracker</vt:lpstr>
      <vt:lpstr>Timeline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Hossam Amir</dc:creator>
  <cp:lastModifiedBy>Eng. Hossam Amir</cp:lastModifiedBy>
  <dcterms:created xsi:type="dcterms:W3CDTF">2026-04-08T14:06:24Z</dcterms:created>
  <dcterms:modified xsi:type="dcterms:W3CDTF">2026-04-08T14:24:19Z</dcterms:modified>
</cp:coreProperties>
</file>